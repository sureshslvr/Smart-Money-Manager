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yexpenses" sheetId="1" r:id="rId5"/>
    <sheet state="visible" name="Filter_Controls" sheetId="2" r:id="rId6"/>
  </sheets>
  <definedNames/>
  <calcPr/>
</workbook>
</file>

<file path=xl/sharedStrings.xml><?xml version="1.0" encoding="utf-8"?>
<sst xmlns="http://schemas.openxmlformats.org/spreadsheetml/2006/main" count="186" uniqueCount="122">
  <si>
    <t>ID</t>
  </si>
  <si>
    <t>Date</t>
  </si>
  <si>
    <t>Description</t>
  </si>
  <si>
    <t>EXPENSEType</t>
  </si>
  <si>
    <t>Amount</t>
  </si>
  <si>
    <t>BALANCE</t>
  </si>
  <si>
    <t>Budget</t>
  </si>
  <si>
    <t>Comments</t>
  </si>
  <si>
    <t>DeletedRow</t>
  </si>
  <si>
    <t>c02e685d-534e-4958-b1ae-35101242b91e</t>
  </si>
  <si>
    <t>February Salary</t>
  </si>
  <si>
    <t>INCOME</t>
  </si>
  <si>
    <t>c02e685d-534e-4958-b1ae-35101242b915</t>
  </si>
  <si>
    <t>Lic</t>
  </si>
  <si>
    <t>EXPENSE</t>
  </si>
  <si>
    <t>2cc0b84a-be1d-4528-a7d5-893036e1745f</t>
  </si>
  <si>
    <t>Amma lic 1/6 paid from icici card</t>
  </si>
  <si>
    <t>d079363b-beeb-4155-9f2e-ae43e5f56c0d</t>
  </si>
  <si>
    <t>Send to bava</t>
  </si>
  <si>
    <t>7a1123c8-7457-4aff-b2bf-498b41d69b39</t>
  </si>
  <si>
    <t>Room expenses</t>
  </si>
  <si>
    <t>7ec3c921-9d99-4c5b-8b7a-7a8b222dd3e8</t>
  </si>
  <si>
    <t>My Mobile recharge</t>
  </si>
  <si>
    <t>de69373c-1e90-48f4-aa45-e555ab311b9d</t>
  </si>
  <si>
    <t>Grow investment</t>
  </si>
  <si>
    <t>28c903f5-c988-413f-9f1c-e26699cf7f1b</t>
  </si>
  <si>
    <t>Paytm post paid bill</t>
  </si>
  <si>
    <t>de407c1b-bd7c-44c5-a1ba-f4b92aaeb796</t>
  </si>
  <si>
    <t>Wifi recharge</t>
  </si>
  <si>
    <t>0126407e-9e61-4f2b-a023-8d7cf0b05453</t>
  </si>
  <si>
    <t>White shirt for bava</t>
  </si>
  <si>
    <t>4f48276a-3cf0-48da-82b8-92addcdcea8f</t>
  </si>
  <si>
    <t>Bike petrol</t>
  </si>
  <si>
    <t>1c5125dc-cef4-4dd3-8ae4-a74ccffe4a0c</t>
  </si>
  <si>
    <t>2 Track pants</t>
  </si>
  <si>
    <t>6d893e42-d521-4c0d-8622-b4e9dd3cbb0a</t>
  </si>
  <si>
    <t>Traveling hyd to home</t>
  </si>
  <si>
    <t>c9839b49-cb72-4e1c-98c2-944a42c6fedc</t>
  </si>
  <si>
    <t>Kallu sadi bava</t>
  </si>
  <si>
    <t>4d4779ca-58f5-4e09-91ad-8268002947ca</t>
  </si>
  <si>
    <t>Wood words</t>
  </si>
  <si>
    <t>34afc62b-bd14-4a1b-9ff4-ed4d4bd5cf3c</t>
  </si>
  <si>
    <t>Petrol</t>
  </si>
  <si>
    <t>51b62fdd-8294-451d-8aa3-1b1f521b04d9</t>
  </si>
  <si>
    <t>Sendodent-K</t>
  </si>
  <si>
    <t>617bde26-15a2-4e7f-87ea-9eb426da0f3f</t>
  </si>
  <si>
    <t>Air cooler moter</t>
  </si>
  <si>
    <t>2379d684-cb70-4d59-9d0b-b4e9a2cf592e</t>
  </si>
  <si>
    <t>Air cooler motar rekkalu</t>
  </si>
  <si>
    <t>980ad20f-05b0-4dfe-a4a3-7344f0425fa8</t>
  </si>
  <si>
    <t>Jio recharge 14days 119 plan</t>
  </si>
  <si>
    <t>f8458686-b754-450c-b1c5-03cbc3ea8e2c</t>
  </si>
  <si>
    <t>Illanthakunta darshanam, dasara movie etc</t>
  </si>
  <si>
    <t>eb3ecfab-4489-43af-ba45-eae067d2834f</t>
  </si>
  <si>
    <t>March Salary</t>
  </si>
  <si>
    <t>8b594586-ce20-4727-b9f7-abac12fbc700</t>
  </si>
  <si>
    <t>Kallu</t>
  </si>
  <si>
    <t>3eb1b257-53c7-4613-967a-110a5ce4cda6</t>
  </si>
  <si>
    <t>Netflix recharge</t>
  </si>
  <si>
    <t>7c9b0924-4038-4a0e-ae4a-c877fc4fdcd7</t>
  </si>
  <si>
    <t>61cd1688-966c-42b8-8e3b-63882288a0b7</t>
  </si>
  <si>
    <t>0e5e0518-7d38-4ea0-bd32-ce24db5fb2eb</t>
  </si>
  <si>
    <t>home</t>
  </si>
  <si>
    <t>c98baec4-a803-4643-9491-3e548ffb4709</t>
  </si>
  <si>
    <t>Paytm postpaid bill</t>
  </si>
  <si>
    <t>4d36456e-1048-4735-8bd4-4463e8235b39</t>
  </si>
  <si>
    <t>d8cfd5d1-b606-4981-b9b0-f4c4e379cc60</t>
  </si>
  <si>
    <t>1ff3344a-dcd2-40c9-8aad-04facaa200dc</t>
  </si>
  <si>
    <t>Water card recharge</t>
  </si>
  <si>
    <t>70974fb1-0d7b-4fa9-b6b6-6cb570535ff0</t>
  </si>
  <si>
    <t>Pothireddipat(kodi, kobbarikaya)</t>
  </si>
  <si>
    <t>703c4b96-2fba-4b6f-ac97-2adcc9ecdfb7</t>
  </si>
  <si>
    <t>Amma lic 2/6 paid from icici card</t>
  </si>
  <si>
    <t>7c4b05ed-b32e-414d-b7d1-54a710860f64</t>
  </si>
  <si>
    <t>Paytm debit card annual charges</t>
  </si>
  <si>
    <t>aa1f6a16-2c5e-4c77-b868-705447eba8b3</t>
  </si>
  <si>
    <t>0cbc78fd-be05-46b2-93de-a7e36b316804</t>
  </si>
  <si>
    <t>Thumsup reliance jio mart</t>
  </si>
  <si>
    <t>7a1ee1dc-0d10-4bd4-82a5-a0ef021653d7</t>
  </si>
  <si>
    <t>Current bill</t>
  </si>
  <si>
    <t>8cad9dea-8d45-4f7e-8167-0519c0e55045</t>
  </si>
  <si>
    <t>D3 must</t>
  </si>
  <si>
    <t>5e75552a-6fc4-4768-aee3-6f46d190821f</t>
  </si>
  <si>
    <t>3 rps shop</t>
  </si>
  <si>
    <t>85dfd23b-fd28-42ab-8c55-c0eb23b74a61</t>
  </si>
  <si>
    <t>b424bb35-299b-4f6d-9052-66993e4e6146</t>
  </si>
  <si>
    <t>9401faa8-e0f2-439a-bc60-fbc1e4d8a9bf</t>
  </si>
  <si>
    <t>Normal ring amma taken</t>
  </si>
  <si>
    <t>e7b68fa1-d8fa-49eb-8a42-33c562c04f39</t>
  </si>
  <si>
    <t>Data Recharge pack airtel 50gb</t>
  </si>
  <si>
    <t>40401b5e-fb3f-4cd2-91c8-770dae9e2c8b</t>
  </si>
  <si>
    <t>f18b5c42-613e-42ea-805a-c143057d211b</t>
  </si>
  <si>
    <t>Water bottles and nife</t>
  </si>
  <si>
    <t>0a5e8573-d5f3-443c-b938-083b1b41f8bf</t>
  </si>
  <si>
    <t>Citi bank credit card 14k for 11 prime mobile</t>
  </si>
  <si>
    <t>8dcd4379-8756-4c33-aa31-26dad8db0a33</t>
  </si>
  <si>
    <t>Molangoor afzal hafiz</t>
  </si>
  <si>
    <t>fb552d4a-0b3f-43fb-9147-b5ee3b337c91</t>
  </si>
  <si>
    <t>Molangur hafzal hafiz</t>
  </si>
  <si>
    <t>4022b0ed-996a-455b-a878-cc0f2b1e2635</t>
  </si>
  <si>
    <t>Mandi with ak</t>
  </si>
  <si>
    <t>383c2d2d-f947-4f04-99a9-8534dc7b3472</t>
  </si>
  <si>
    <t>Wines 2 kf li8</t>
  </si>
  <si>
    <t>14d2903a-edc7-4c32-8073-ae9286cb1da9</t>
  </si>
  <si>
    <t>Lpg gas at home</t>
  </si>
  <si>
    <t>3f06d2db-60a5-4f83-8eac-417d25e6b79f</t>
  </si>
  <si>
    <t>April Salary</t>
  </si>
  <si>
    <t>b4b8d743-4705-422a-a491-16b91ca4d72a</t>
  </si>
  <si>
    <t>Cutting and trimming</t>
  </si>
  <si>
    <t>some_key</t>
  </si>
  <si>
    <t>Selected_Month</t>
  </si>
  <si>
    <t>Selected_Year</t>
  </si>
  <si>
    <t>June</t>
  </si>
  <si>
    <t>February</t>
  </si>
  <si>
    <t>March</t>
  </si>
  <si>
    <t>April</t>
  </si>
  <si>
    <t>May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</si>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</sst>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#,##0.00[$₹]"/>
    <numFmt numFmtId="166" formatCode="m/d/yyyy"/>
    <numFmt numFmtId="167" formatCode="mm/dd/yyyy"/>
  </numFmts>
  <fonts count="9">
    <font>
      <sz val="10.0"/>
      <color rgb="FF000000"/>
      <name val="Arial"/>
      <scheme val="minor"/>
    </font>
    <font>
      <b/>
      <sz val="13.0"/>
      <color rgb="FF4C1130"/>
      <name val="&quot;Times New Roman&quot;"/>
    </font>
    <font>
      <b/>
      <sz val="13.0"/>
      <color rgb="FF000000"/>
      <name val="&quot;Times New Roman&quot;"/>
    </font>
    <font>
      <b/>
      <sz val="13.0"/>
      <color theme="1"/>
      <name val="Calibri"/>
    </font>
    <font>
      <color theme="1"/>
      <name val="Arial"/>
    </font>
    <font>
      <color theme="1"/>
      <name val="Arial"/>
      <scheme val="minor"/>
    </font>
    <font>
      <sz val="12.0"/>
      <color theme="1"/>
      <name val="&quot;Times New Roman&quot;"/>
    </font>
    <font>
      <sz val="12.0"/>
      <color rgb="FF000000"/>
      <name val="&quot;Times New Roman&quot;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readingOrder="0" vertical="bottom"/>
    </xf>
    <xf borderId="1" fillId="2" fontId="1" numFmtId="164" xfId="0" applyAlignment="1" applyBorder="1" applyFont="1" applyNumberFormat="1">
      <alignment horizontal="center" vertical="bottom"/>
    </xf>
    <xf borderId="1" fillId="2" fontId="1" numFmtId="49" xfId="0" applyAlignment="1" applyBorder="1" applyFont="1" applyNumberFormat="1">
      <alignment horizontal="center" vertical="bottom"/>
    </xf>
    <xf borderId="1" fillId="2" fontId="2" numFmtId="165" xfId="0" applyAlignment="1" applyBorder="1" applyFont="1" applyNumberFormat="1">
      <alignment horizontal="center" vertical="bottom"/>
    </xf>
    <xf borderId="1" fillId="2" fontId="1" numFmtId="165" xfId="0" applyAlignment="1" applyBorder="1" applyFont="1" applyNumberFormat="1">
      <alignment horizontal="center" vertical="bottom"/>
    </xf>
    <xf borderId="1" fillId="2" fontId="3" numFmtId="0" xfId="0" applyAlignment="1" applyBorder="1" applyFont="1">
      <alignment horizontal="center" vertical="bottom"/>
    </xf>
    <xf borderId="1" fillId="0" fontId="4" numFmtId="0" xfId="0" applyAlignment="1" applyBorder="1" applyFont="1">
      <alignment readingOrder="0" vertical="bottom"/>
    </xf>
    <xf borderId="1" fillId="0" fontId="5" numFmtId="0" xfId="0" applyAlignment="1" applyBorder="1" applyFont="1">
      <alignment readingOrder="0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1" fillId="0" fontId="6" numFmtId="49" xfId="0" applyAlignment="1" applyBorder="1" applyFont="1" applyNumberFormat="1">
      <alignment horizontal="left" readingOrder="0" vertical="bottom"/>
    </xf>
    <xf borderId="1" fillId="0" fontId="6" numFmtId="166" xfId="0" applyAlignment="1" applyBorder="1" applyFont="1" applyNumberFormat="1">
      <alignment horizontal="left" readingOrder="0" vertical="bottom"/>
    </xf>
    <xf borderId="1" fillId="0" fontId="6" numFmtId="49" xfId="0" applyAlignment="1" applyBorder="1" applyFont="1" applyNumberFormat="1">
      <alignment vertical="bottom"/>
    </xf>
    <xf borderId="1" fillId="3" fontId="6" numFmtId="49" xfId="0" applyAlignment="1" applyBorder="1" applyFill="1" applyFont="1" applyNumberFormat="1">
      <alignment horizontal="center" readingOrder="0" vertical="bottom"/>
    </xf>
    <xf borderId="1" fillId="3" fontId="7" numFmtId="165" xfId="0" applyAlignment="1" applyBorder="1" applyFont="1" applyNumberFormat="1">
      <alignment horizontal="right" vertical="bottom"/>
    </xf>
    <xf borderId="1" fillId="3" fontId="6" numFmtId="165" xfId="0" applyAlignment="1" applyBorder="1" applyFont="1" applyNumberFormat="1">
      <alignment horizontal="right" readingOrder="0" vertical="bottom"/>
    </xf>
    <xf borderId="1" fillId="0" fontId="8" numFmtId="0" xfId="0" applyAlignment="1" applyBorder="1" applyFont="1">
      <alignment horizontal="center" readingOrder="0" vertical="bottom"/>
    </xf>
    <xf borderId="1" fillId="0" fontId="4" numFmtId="0" xfId="0" applyAlignment="1" applyBorder="1" applyFont="1">
      <alignment vertical="bottom"/>
    </xf>
    <xf borderId="1" fillId="0" fontId="6" numFmtId="164" xfId="0" applyAlignment="1" applyBorder="1" applyFont="1" applyNumberFormat="1">
      <alignment horizontal="left" vertical="bottom"/>
    </xf>
    <xf borderId="1" fillId="3" fontId="7" numFmtId="165" xfId="0" applyAlignment="1" applyBorder="1" applyFont="1" applyNumberFormat="1">
      <alignment horizontal="right" readingOrder="0" vertical="bottom"/>
    </xf>
    <xf borderId="1" fillId="0" fontId="5" numFmtId="165" xfId="0" applyBorder="1" applyFont="1" applyNumberFormat="1"/>
    <xf borderId="1" fillId="0" fontId="6" numFmtId="167" xfId="0" applyAlignment="1" applyBorder="1" applyFont="1" applyNumberFormat="1">
      <alignment horizontal="left" readingOrder="0" vertical="bottom"/>
    </xf>
    <xf borderId="1" fillId="0" fontId="6" numFmtId="49" xfId="0" applyAlignment="1" applyBorder="1" applyFont="1" applyNumberFormat="1">
      <alignment horizontal="center" readingOrder="0" vertical="bottom"/>
    </xf>
    <xf borderId="1" fillId="0" fontId="6" numFmtId="164" xfId="0" applyAlignment="1" applyBorder="1" applyFont="1" applyNumberFormat="1">
      <alignment horizontal="left" readingOrder="0"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horizontal="right" readingOrder="0" vertical="bottom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2">
    <dxf>
      <font>
        <color rgb="FFFF0000"/>
      </font>
      <fill>
        <patternFill patternType="solid">
          <fgColor rgb="FFFFFFFF"/>
          <bgColor rgb="FFFFFFFF"/>
        </patternFill>
      </fill>
      <border/>
    </dxf>
    <dxf>
      <font>
        <color rgb="FF000000"/>
      </font>
      <fill>
        <patternFill patternType="solid">
          <fgColor rgb="FFFFFFFF"/>
          <bgColor rgb="FFFF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3.63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8" t="s">
        <v>8</v>
      </c>
      <c r="J1" s="9"/>
      <c r="K1" s="9"/>
      <c r="L1" s="9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</row>
    <row r="2">
      <c r="A2" s="11" t="s">
        <v>9</v>
      </c>
      <c r="B2" s="12">
        <v>45323.0</v>
      </c>
      <c r="C2" s="13" t="s">
        <v>10</v>
      </c>
      <c r="D2" s="14" t="s">
        <v>11</v>
      </c>
      <c r="E2" s="15">
        <v>21888.0</v>
      </c>
      <c r="F2" s="16">
        <v>21888.0</v>
      </c>
      <c r="G2" s="17" t="str">
        <f t="shared" ref="G2:G54" si="1">IF(F2&gt;0,"under budget","over budget")</f>
        <v>under budget</v>
      </c>
      <c r="H2" s="18"/>
      <c r="I2" s="7" t="b">
        <v>0</v>
      </c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</row>
    <row r="3">
      <c r="A3" s="11" t="s">
        <v>12</v>
      </c>
      <c r="B3" s="19">
        <v>44929.0</v>
      </c>
      <c r="C3" s="13" t="s">
        <v>13</v>
      </c>
      <c r="D3" s="14" t="s">
        <v>14</v>
      </c>
      <c r="E3" s="20">
        <v>2010.0</v>
      </c>
      <c r="F3" s="21">
        <f t="shared" ref="F3:F54" si="2">IF(I3=TRUE, F2, IF(D3="EXPENSE", F2-E3, F2+E3))
</f>
        <v>19878</v>
      </c>
      <c r="G3" s="17" t="str">
        <f t="shared" si="1"/>
        <v>under budget</v>
      </c>
      <c r="H3" s="18"/>
      <c r="I3" s="7" t="b">
        <v>0</v>
      </c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</row>
    <row r="4">
      <c r="A4" s="11" t="s">
        <v>15</v>
      </c>
      <c r="B4" s="19">
        <v>44929.0</v>
      </c>
      <c r="C4" s="13" t="s">
        <v>16</v>
      </c>
      <c r="D4" s="14" t="s">
        <v>14</v>
      </c>
      <c r="E4" s="20">
        <v>1233.0</v>
      </c>
      <c r="F4" s="21">
        <f t="shared" si="2"/>
        <v>18645</v>
      </c>
      <c r="G4" s="17" t="str">
        <f t="shared" si="1"/>
        <v>under budget</v>
      </c>
      <c r="H4" s="18"/>
      <c r="I4" s="7" t="b">
        <v>0</v>
      </c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</row>
    <row r="5">
      <c r="A5" s="11" t="s">
        <v>17</v>
      </c>
      <c r="B5" s="19">
        <v>44929.0</v>
      </c>
      <c r="C5" s="13" t="s">
        <v>18</v>
      </c>
      <c r="D5" s="14" t="s">
        <v>14</v>
      </c>
      <c r="E5" s="20">
        <v>5000.0</v>
      </c>
      <c r="F5" s="21">
        <f t="shared" si="2"/>
        <v>13645</v>
      </c>
      <c r="G5" s="17" t="str">
        <f t="shared" si="1"/>
        <v>under budget</v>
      </c>
      <c r="H5" s="18"/>
      <c r="I5" s="7" t="b">
        <v>0</v>
      </c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</row>
    <row r="6">
      <c r="A6" s="11" t="s">
        <v>19</v>
      </c>
      <c r="B6" s="19">
        <v>44929.0</v>
      </c>
      <c r="C6" s="13" t="s">
        <v>20</v>
      </c>
      <c r="D6" s="14" t="s">
        <v>14</v>
      </c>
      <c r="E6" s="20">
        <v>5000.0</v>
      </c>
      <c r="F6" s="21">
        <f t="shared" si="2"/>
        <v>8645</v>
      </c>
      <c r="G6" s="17" t="str">
        <f t="shared" si="1"/>
        <v>under budget</v>
      </c>
      <c r="H6" s="18"/>
      <c r="I6" s="7" t="b">
        <v>0</v>
      </c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</row>
    <row r="7">
      <c r="A7" s="11" t="s">
        <v>21</v>
      </c>
      <c r="B7" s="19">
        <v>44929.0</v>
      </c>
      <c r="C7" s="13" t="s">
        <v>22</v>
      </c>
      <c r="D7" s="14" t="s">
        <v>14</v>
      </c>
      <c r="E7" s="20">
        <v>600.0</v>
      </c>
      <c r="F7" s="21">
        <f t="shared" si="2"/>
        <v>8045</v>
      </c>
      <c r="G7" s="17" t="str">
        <f t="shared" si="1"/>
        <v>under budget</v>
      </c>
      <c r="H7" s="18"/>
      <c r="I7" s="7" t="b">
        <v>0</v>
      </c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</row>
    <row r="8">
      <c r="A8" s="11" t="s">
        <v>23</v>
      </c>
      <c r="B8" s="19">
        <v>45049.0</v>
      </c>
      <c r="C8" s="13" t="s">
        <v>24</v>
      </c>
      <c r="D8" s="14" t="s">
        <v>14</v>
      </c>
      <c r="E8" s="20">
        <v>600.0</v>
      </c>
      <c r="F8" s="21">
        <f t="shared" si="2"/>
        <v>7445</v>
      </c>
      <c r="G8" s="17" t="str">
        <f t="shared" si="1"/>
        <v>under budget</v>
      </c>
      <c r="H8" s="18"/>
      <c r="I8" s="7" t="b">
        <v>0</v>
      </c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</row>
    <row r="9">
      <c r="A9" s="11" t="s">
        <v>25</v>
      </c>
      <c r="B9" s="19">
        <v>45049.0</v>
      </c>
      <c r="C9" s="13" t="s">
        <v>26</v>
      </c>
      <c r="D9" s="14" t="s">
        <v>14</v>
      </c>
      <c r="E9" s="20">
        <v>3000.0</v>
      </c>
      <c r="F9" s="21">
        <f t="shared" si="2"/>
        <v>4445</v>
      </c>
      <c r="G9" s="17" t="str">
        <f t="shared" si="1"/>
        <v>under budget</v>
      </c>
      <c r="H9" s="18"/>
      <c r="I9" s="7" t="b">
        <v>0</v>
      </c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</row>
    <row r="10">
      <c r="A10" s="11" t="s">
        <v>27</v>
      </c>
      <c r="B10" s="19">
        <v>45233.0</v>
      </c>
      <c r="C10" s="13" t="s">
        <v>28</v>
      </c>
      <c r="D10" s="14" t="s">
        <v>14</v>
      </c>
      <c r="E10" s="20">
        <v>450.0</v>
      </c>
      <c r="F10" s="21">
        <f t="shared" si="2"/>
        <v>3995</v>
      </c>
      <c r="G10" s="17" t="str">
        <f t="shared" si="1"/>
        <v>under budget</v>
      </c>
      <c r="H10" s="18"/>
      <c r="I10" s="7" t="b">
        <v>0</v>
      </c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</row>
    <row r="11">
      <c r="A11" s="11" t="s">
        <v>29</v>
      </c>
      <c r="B11" s="12">
        <v>45365.0</v>
      </c>
      <c r="C11" s="13" t="s">
        <v>30</v>
      </c>
      <c r="D11" s="14" t="s">
        <v>14</v>
      </c>
      <c r="E11" s="20">
        <v>450.0</v>
      </c>
      <c r="F11" s="21">
        <f t="shared" si="2"/>
        <v>3545</v>
      </c>
      <c r="G11" s="17" t="str">
        <f t="shared" si="1"/>
        <v>under budget</v>
      </c>
      <c r="H11" s="18"/>
      <c r="I11" s="7" t="b">
        <v>0</v>
      </c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</row>
    <row r="12">
      <c r="A12" s="11" t="s">
        <v>31</v>
      </c>
      <c r="B12" s="12">
        <v>45365.0</v>
      </c>
      <c r="C12" s="13" t="s">
        <v>32</v>
      </c>
      <c r="D12" s="14" t="s">
        <v>14</v>
      </c>
      <c r="E12" s="20">
        <v>300.0</v>
      </c>
      <c r="F12" s="21">
        <f t="shared" si="2"/>
        <v>3245</v>
      </c>
      <c r="G12" s="17" t="str">
        <f t="shared" si="1"/>
        <v>under budget</v>
      </c>
      <c r="H12" s="18"/>
      <c r="I12" s="7" t="b">
        <v>0</v>
      </c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</row>
    <row r="13">
      <c r="A13" s="11" t="s">
        <v>33</v>
      </c>
      <c r="B13" s="12">
        <v>45365.0</v>
      </c>
      <c r="C13" s="13" t="s">
        <v>34</v>
      </c>
      <c r="D13" s="14" t="s">
        <v>14</v>
      </c>
      <c r="E13" s="20">
        <v>630.0</v>
      </c>
      <c r="F13" s="21">
        <f t="shared" si="2"/>
        <v>2615</v>
      </c>
      <c r="G13" s="17" t="str">
        <f t="shared" si="1"/>
        <v>under budget</v>
      </c>
      <c r="H13" s="18"/>
      <c r="I13" s="7" t="b">
        <v>0</v>
      </c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</row>
    <row r="14">
      <c r="A14" s="11" t="s">
        <v>35</v>
      </c>
      <c r="B14" s="12">
        <v>45365.0</v>
      </c>
      <c r="C14" s="13" t="s">
        <v>36</v>
      </c>
      <c r="D14" s="14" t="s">
        <v>14</v>
      </c>
      <c r="E14" s="20">
        <v>300.0</v>
      </c>
      <c r="F14" s="21">
        <f t="shared" si="2"/>
        <v>2315</v>
      </c>
      <c r="G14" s="17" t="str">
        <f t="shared" si="1"/>
        <v>under budget</v>
      </c>
      <c r="H14" s="18"/>
      <c r="I14" s="7" t="b">
        <v>0</v>
      </c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</row>
    <row r="15">
      <c r="A15" s="11" t="s">
        <v>37</v>
      </c>
      <c r="B15" s="12">
        <v>45365.0</v>
      </c>
      <c r="C15" s="13" t="s">
        <v>38</v>
      </c>
      <c r="D15" s="14" t="s">
        <v>14</v>
      </c>
      <c r="E15" s="20">
        <v>100.0</v>
      </c>
      <c r="F15" s="21">
        <f t="shared" si="2"/>
        <v>2215</v>
      </c>
      <c r="G15" s="17" t="str">
        <f t="shared" si="1"/>
        <v>under budget</v>
      </c>
      <c r="H15" s="18"/>
      <c r="I15" s="7" t="b">
        <v>0</v>
      </c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</row>
    <row r="16">
      <c r="A16" s="11" t="s">
        <v>39</v>
      </c>
      <c r="B16" s="12">
        <v>45365.0</v>
      </c>
      <c r="C16" s="13" t="s">
        <v>40</v>
      </c>
      <c r="D16" s="14" t="s">
        <v>14</v>
      </c>
      <c r="E16" s="20">
        <v>80.0</v>
      </c>
      <c r="F16" s="21">
        <f t="shared" si="2"/>
        <v>2135</v>
      </c>
      <c r="G16" s="17" t="str">
        <f t="shared" si="1"/>
        <v>under budget</v>
      </c>
      <c r="H16" s="18"/>
      <c r="I16" s="7" t="b">
        <v>0</v>
      </c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</row>
    <row r="17">
      <c r="A17" s="11" t="s">
        <v>41</v>
      </c>
      <c r="B17" s="12">
        <v>45365.0</v>
      </c>
      <c r="C17" s="13" t="s">
        <v>42</v>
      </c>
      <c r="D17" s="14" t="s">
        <v>14</v>
      </c>
      <c r="E17" s="20">
        <v>200.0</v>
      </c>
      <c r="F17" s="21">
        <f t="shared" si="2"/>
        <v>1935</v>
      </c>
      <c r="G17" s="17" t="str">
        <f t="shared" si="1"/>
        <v>under budget</v>
      </c>
      <c r="H17" s="18"/>
      <c r="I17" s="7" t="b">
        <v>0</v>
      </c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</row>
    <row r="18">
      <c r="A18" s="11" t="s">
        <v>43</v>
      </c>
      <c r="B18" s="12">
        <v>45365.0</v>
      </c>
      <c r="C18" s="13" t="s">
        <v>44</v>
      </c>
      <c r="D18" s="14" t="s">
        <v>14</v>
      </c>
      <c r="E18" s="20">
        <v>130.0</v>
      </c>
      <c r="F18" s="21">
        <f t="shared" si="2"/>
        <v>1805</v>
      </c>
      <c r="G18" s="17" t="str">
        <f t="shared" si="1"/>
        <v>under budget</v>
      </c>
      <c r="H18" s="18"/>
      <c r="I18" s="7" t="b">
        <v>0</v>
      </c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</row>
    <row r="19">
      <c r="A19" s="11" t="s">
        <v>45</v>
      </c>
      <c r="B19" s="12">
        <v>45010.0</v>
      </c>
      <c r="C19" s="13" t="s">
        <v>46</v>
      </c>
      <c r="D19" s="14" t="s">
        <v>14</v>
      </c>
      <c r="E19" s="20">
        <v>1050.0</v>
      </c>
      <c r="F19" s="21">
        <f t="shared" si="2"/>
        <v>755</v>
      </c>
      <c r="G19" s="17" t="str">
        <f t="shared" si="1"/>
        <v>under budget</v>
      </c>
      <c r="H19" s="18"/>
      <c r="I19" s="7" t="b">
        <v>0</v>
      </c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</row>
    <row r="20">
      <c r="A20" s="11" t="s">
        <v>47</v>
      </c>
      <c r="B20" s="12">
        <v>45010.0</v>
      </c>
      <c r="C20" s="13" t="s">
        <v>48</v>
      </c>
      <c r="D20" s="14" t="s">
        <v>14</v>
      </c>
      <c r="E20" s="20">
        <v>100.0</v>
      </c>
      <c r="F20" s="21">
        <f t="shared" si="2"/>
        <v>655</v>
      </c>
      <c r="G20" s="17" t="str">
        <f t="shared" si="1"/>
        <v>under budget</v>
      </c>
      <c r="H20" s="18"/>
      <c r="I20" s="7" t="b">
        <v>0</v>
      </c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</row>
    <row r="21">
      <c r="A21" s="11" t="s">
        <v>49</v>
      </c>
      <c r="B21" s="22">
        <v>45013.0</v>
      </c>
      <c r="C21" s="13" t="s">
        <v>50</v>
      </c>
      <c r="D21" s="14" t="s">
        <v>14</v>
      </c>
      <c r="E21" s="20">
        <v>119.0</v>
      </c>
      <c r="F21" s="21">
        <f t="shared" si="2"/>
        <v>536</v>
      </c>
      <c r="G21" s="17" t="str">
        <f t="shared" si="1"/>
        <v>under budget</v>
      </c>
      <c r="H21" s="18"/>
      <c r="I21" s="7" t="b">
        <v>0</v>
      </c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</row>
    <row r="22">
      <c r="A22" s="11" t="s">
        <v>51</v>
      </c>
      <c r="B22" s="12">
        <v>45015.0</v>
      </c>
      <c r="C22" s="13" t="s">
        <v>52</v>
      </c>
      <c r="D22" s="14" t="s">
        <v>14</v>
      </c>
      <c r="E22" s="20">
        <v>400.0</v>
      </c>
      <c r="F22" s="21">
        <f t="shared" si="2"/>
        <v>136</v>
      </c>
      <c r="G22" s="17" t="str">
        <f t="shared" si="1"/>
        <v>under budget</v>
      </c>
      <c r="H22" s="18"/>
      <c r="I22" s="7" t="b">
        <v>0</v>
      </c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</row>
    <row r="23">
      <c r="A23" s="11" t="s">
        <v>53</v>
      </c>
      <c r="B23" s="12">
        <v>45016.0</v>
      </c>
      <c r="C23" s="13" t="s">
        <v>54</v>
      </c>
      <c r="D23" s="23" t="s">
        <v>11</v>
      </c>
      <c r="E23" s="15">
        <v>21887.0</v>
      </c>
      <c r="F23" s="21">
        <f t="shared" si="2"/>
        <v>22023</v>
      </c>
      <c r="G23" s="17" t="str">
        <f t="shared" si="1"/>
        <v>under budget</v>
      </c>
      <c r="H23" s="18"/>
      <c r="I23" s="7" t="b">
        <v>0</v>
      </c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</row>
    <row r="24">
      <c r="A24" s="11" t="s">
        <v>55</v>
      </c>
      <c r="B24" s="12">
        <v>45016.0</v>
      </c>
      <c r="C24" s="13" t="s">
        <v>56</v>
      </c>
      <c r="D24" s="14" t="s">
        <v>14</v>
      </c>
      <c r="E24" s="20">
        <v>100.0</v>
      </c>
      <c r="F24" s="21">
        <f t="shared" si="2"/>
        <v>21923</v>
      </c>
      <c r="G24" s="17" t="str">
        <f t="shared" si="1"/>
        <v>under budget</v>
      </c>
      <c r="H24" s="18"/>
      <c r="I24" s="7" t="b">
        <v>0</v>
      </c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</row>
    <row r="25">
      <c r="A25" s="11" t="s">
        <v>57</v>
      </c>
      <c r="B25" s="24">
        <v>45017.0</v>
      </c>
      <c r="C25" s="13" t="s">
        <v>58</v>
      </c>
      <c r="D25" s="14" t="s">
        <v>14</v>
      </c>
      <c r="E25" s="20">
        <v>199.0</v>
      </c>
      <c r="F25" s="21">
        <f t="shared" si="2"/>
        <v>21724</v>
      </c>
      <c r="G25" s="17" t="str">
        <f t="shared" si="1"/>
        <v>under budget</v>
      </c>
      <c r="H25" s="18"/>
      <c r="I25" s="7" t="b">
        <v>0</v>
      </c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</row>
    <row r="26">
      <c r="A26" s="11" t="s">
        <v>59</v>
      </c>
      <c r="B26" s="24">
        <v>45017.0</v>
      </c>
      <c r="C26" s="13" t="s">
        <v>42</v>
      </c>
      <c r="D26" s="14" t="s">
        <v>14</v>
      </c>
      <c r="E26" s="20">
        <v>200.0</v>
      </c>
      <c r="F26" s="21">
        <f t="shared" si="2"/>
        <v>21524</v>
      </c>
      <c r="G26" s="17" t="str">
        <f t="shared" si="1"/>
        <v>under budget</v>
      </c>
      <c r="H26" s="18"/>
      <c r="I26" s="7" t="b">
        <v>0</v>
      </c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</row>
    <row r="27">
      <c r="A27" s="11" t="s">
        <v>60</v>
      </c>
      <c r="B27" s="24">
        <v>45017.0</v>
      </c>
      <c r="C27" s="13" t="s">
        <v>20</v>
      </c>
      <c r="D27" s="14" t="s">
        <v>14</v>
      </c>
      <c r="E27" s="20">
        <v>5000.0</v>
      </c>
      <c r="F27" s="21">
        <f t="shared" si="2"/>
        <v>16524</v>
      </c>
      <c r="G27" s="17" t="str">
        <f t="shared" si="1"/>
        <v>under budget</v>
      </c>
      <c r="H27" s="18"/>
      <c r="I27" s="7" t="b">
        <v>0</v>
      </c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</row>
    <row r="28">
      <c r="A28" s="11" t="s">
        <v>61</v>
      </c>
      <c r="B28" s="24">
        <v>45017.0</v>
      </c>
      <c r="C28" s="13" t="s">
        <v>62</v>
      </c>
      <c r="D28" s="14" t="s">
        <v>14</v>
      </c>
      <c r="E28" s="20">
        <v>10000.0</v>
      </c>
      <c r="F28" s="21">
        <f t="shared" si="2"/>
        <v>6524</v>
      </c>
      <c r="G28" s="17" t="str">
        <f t="shared" si="1"/>
        <v>under budget</v>
      </c>
      <c r="H28" s="18"/>
      <c r="I28" s="7" t="b">
        <v>0</v>
      </c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</row>
    <row r="29">
      <c r="A29" s="11" t="s">
        <v>63</v>
      </c>
      <c r="B29" s="24">
        <v>45017.0</v>
      </c>
      <c r="C29" s="13" t="s">
        <v>64</v>
      </c>
      <c r="D29" s="14" t="s">
        <v>14</v>
      </c>
      <c r="E29" s="20">
        <v>1500.0</v>
      </c>
      <c r="F29" s="21">
        <f t="shared" si="2"/>
        <v>5024</v>
      </c>
      <c r="G29" s="17" t="str">
        <f t="shared" si="1"/>
        <v>under budget</v>
      </c>
      <c r="H29" s="18"/>
      <c r="I29" s="7" t="b">
        <v>0</v>
      </c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</row>
    <row r="30">
      <c r="A30" s="11" t="s">
        <v>65</v>
      </c>
      <c r="B30" s="24">
        <v>45017.0</v>
      </c>
      <c r="C30" s="13" t="s">
        <v>56</v>
      </c>
      <c r="D30" s="14" t="s">
        <v>14</v>
      </c>
      <c r="E30" s="20">
        <v>100.0</v>
      </c>
      <c r="F30" s="21">
        <f t="shared" si="2"/>
        <v>4924</v>
      </c>
      <c r="G30" s="17" t="str">
        <f t="shared" si="1"/>
        <v>under budget</v>
      </c>
      <c r="H30" s="18"/>
      <c r="I30" s="7" t="b">
        <v>0</v>
      </c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</row>
    <row r="31">
      <c r="A31" s="11" t="s">
        <v>66</v>
      </c>
      <c r="B31" s="24">
        <v>45018.0</v>
      </c>
      <c r="C31" s="13" t="s">
        <v>56</v>
      </c>
      <c r="D31" s="14" t="s">
        <v>14</v>
      </c>
      <c r="E31" s="20">
        <v>100.0</v>
      </c>
      <c r="F31" s="21">
        <f t="shared" si="2"/>
        <v>4824</v>
      </c>
      <c r="G31" s="17" t="str">
        <f t="shared" si="1"/>
        <v>under budget</v>
      </c>
      <c r="H31" s="18"/>
      <c r="I31" s="7" t="b">
        <v>0</v>
      </c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</row>
    <row r="32">
      <c r="A32" s="11" t="s">
        <v>67</v>
      </c>
      <c r="B32" s="24">
        <v>45018.0</v>
      </c>
      <c r="C32" s="13" t="s">
        <v>68</v>
      </c>
      <c r="D32" s="14" t="s">
        <v>14</v>
      </c>
      <c r="E32" s="20">
        <v>100.0</v>
      </c>
      <c r="F32" s="21">
        <f t="shared" si="2"/>
        <v>4724</v>
      </c>
      <c r="G32" s="17" t="str">
        <f t="shared" si="1"/>
        <v>under budget</v>
      </c>
      <c r="H32" s="18"/>
      <c r="I32" s="7" t="b">
        <v>0</v>
      </c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</row>
    <row r="33">
      <c r="A33" s="11" t="s">
        <v>69</v>
      </c>
      <c r="B33" s="24">
        <v>45018.0</v>
      </c>
      <c r="C33" s="13" t="s">
        <v>70</v>
      </c>
      <c r="D33" s="14" t="s">
        <v>14</v>
      </c>
      <c r="E33" s="20">
        <v>320.0</v>
      </c>
      <c r="F33" s="21">
        <f t="shared" si="2"/>
        <v>4404</v>
      </c>
      <c r="G33" s="17" t="str">
        <f t="shared" si="1"/>
        <v>under budget</v>
      </c>
      <c r="H33" s="18"/>
      <c r="I33" s="7" t="b">
        <v>0</v>
      </c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</row>
    <row r="34">
      <c r="A34" s="11" t="s">
        <v>71</v>
      </c>
      <c r="B34" s="24">
        <v>45018.0</v>
      </c>
      <c r="C34" s="13" t="s">
        <v>72</v>
      </c>
      <c r="D34" s="14" t="s">
        <v>14</v>
      </c>
      <c r="E34" s="20">
        <v>1233.0</v>
      </c>
      <c r="F34" s="21">
        <f t="shared" si="2"/>
        <v>3171</v>
      </c>
      <c r="G34" s="17" t="str">
        <f t="shared" si="1"/>
        <v>under budget</v>
      </c>
      <c r="H34" s="18"/>
      <c r="I34" s="7" t="b">
        <v>0</v>
      </c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</row>
    <row r="35">
      <c r="A35" s="11" t="s">
        <v>73</v>
      </c>
      <c r="B35" s="24">
        <v>45018.0</v>
      </c>
      <c r="C35" s="13" t="s">
        <v>74</v>
      </c>
      <c r="D35" s="14" t="s">
        <v>14</v>
      </c>
      <c r="E35" s="20">
        <v>150.0</v>
      </c>
      <c r="F35" s="21">
        <f t="shared" si="2"/>
        <v>3021</v>
      </c>
      <c r="G35" s="17" t="str">
        <f t="shared" si="1"/>
        <v>under budget</v>
      </c>
      <c r="H35" s="18"/>
      <c r="I35" s="7" t="b">
        <v>0</v>
      </c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</row>
    <row r="36">
      <c r="A36" s="11" t="s">
        <v>75</v>
      </c>
      <c r="B36" s="24">
        <v>45019.0</v>
      </c>
      <c r="C36" s="13" t="s">
        <v>24</v>
      </c>
      <c r="D36" s="14" t="s">
        <v>14</v>
      </c>
      <c r="E36" s="20">
        <v>600.0</v>
      </c>
      <c r="F36" s="21">
        <f t="shared" si="2"/>
        <v>2421</v>
      </c>
      <c r="G36" s="17" t="str">
        <f t="shared" si="1"/>
        <v>under budget</v>
      </c>
      <c r="H36" s="18"/>
      <c r="I36" s="7" t="b">
        <v>0</v>
      </c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</row>
    <row r="37">
      <c r="A37" s="11" t="s">
        <v>76</v>
      </c>
      <c r="B37" s="19">
        <v>45020.0</v>
      </c>
      <c r="C37" s="13" t="s">
        <v>77</v>
      </c>
      <c r="D37" s="14" t="s">
        <v>14</v>
      </c>
      <c r="E37" s="20">
        <v>79.0</v>
      </c>
      <c r="F37" s="21">
        <f t="shared" si="2"/>
        <v>2342</v>
      </c>
      <c r="G37" s="17" t="str">
        <f t="shared" si="1"/>
        <v>under budget</v>
      </c>
      <c r="H37" s="18"/>
      <c r="I37" s="7" t="b">
        <v>0</v>
      </c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</row>
    <row r="38">
      <c r="A38" s="11" t="s">
        <v>78</v>
      </c>
      <c r="B38" s="24">
        <v>45020.0</v>
      </c>
      <c r="C38" s="13" t="s">
        <v>79</v>
      </c>
      <c r="D38" s="14" t="s">
        <v>14</v>
      </c>
      <c r="E38" s="20">
        <v>593.0</v>
      </c>
      <c r="F38" s="21">
        <f t="shared" si="2"/>
        <v>1749</v>
      </c>
      <c r="G38" s="17" t="str">
        <f t="shared" si="1"/>
        <v>under budget</v>
      </c>
      <c r="H38" s="18"/>
      <c r="I38" s="7" t="b">
        <v>0</v>
      </c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</row>
    <row r="39">
      <c r="A39" s="11" t="s">
        <v>80</v>
      </c>
      <c r="B39" s="24">
        <v>45021.0</v>
      </c>
      <c r="C39" s="13" t="s">
        <v>81</v>
      </c>
      <c r="D39" s="14" t="s">
        <v>14</v>
      </c>
      <c r="E39" s="20">
        <v>35.0</v>
      </c>
      <c r="F39" s="21">
        <f t="shared" si="2"/>
        <v>1714</v>
      </c>
      <c r="G39" s="17" t="str">
        <f t="shared" si="1"/>
        <v>under budget</v>
      </c>
      <c r="H39" s="18"/>
      <c r="I39" s="7" t="b">
        <v>0</v>
      </c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</row>
    <row r="40">
      <c r="A40" s="11" t="s">
        <v>82</v>
      </c>
      <c r="B40" s="24">
        <v>45021.0</v>
      </c>
      <c r="C40" s="13" t="s">
        <v>83</v>
      </c>
      <c r="D40" s="14" t="s">
        <v>14</v>
      </c>
      <c r="E40" s="20">
        <v>70.0</v>
      </c>
      <c r="F40" s="21">
        <f t="shared" si="2"/>
        <v>1644</v>
      </c>
      <c r="G40" s="17" t="str">
        <f t="shared" si="1"/>
        <v>under budget</v>
      </c>
      <c r="H40" s="18"/>
      <c r="I40" s="7" t="b">
        <v>0</v>
      </c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</row>
    <row r="41">
      <c r="A41" s="11" t="s">
        <v>84</v>
      </c>
      <c r="B41" s="24">
        <v>45023.0</v>
      </c>
      <c r="C41" s="13" t="s">
        <v>13</v>
      </c>
      <c r="D41" s="14" t="s">
        <v>14</v>
      </c>
      <c r="E41" s="20">
        <v>2010.0</v>
      </c>
      <c r="F41" s="21">
        <f t="shared" si="2"/>
        <v>-366</v>
      </c>
      <c r="G41" s="17" t="str">
        <f t="shared" si="1"/>
        <v>over budget</v>
      </c>
      <c r="H41" s="18"/>
      <c r="I41" s="7" t="b">
        <v>0</v>
      </c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</row>
    <row r="42">
      <c r="A42" s="11" t="s">
        <v>85</v>
      </c>
      <c r="B42" s="24">
        <v>45025.0</v>
      </c>
      <c r="C42" s="13" t="s">
        <v>56</v>
      </c>
      <c r="D42" s="14" t="s">
        <v>14</v>
      </c>
      <c r="E42" s="20">
        <v>200.0</v>
      </c>
      <c r="F42" s="21">
        <f t="shared" si="2"/>
        <v>-566</v>
      </c>
      <c r="G42" s="17" t="str">
        <f t="shared" si="1"/>
        <v>over budget</v>
      </c>
      <c r="H42" s="18"/>
      <c r="I42" s="7" t="b">
        <v>0</v>
      </c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</row>
    <row r="43">
      <c r="A43" s="11" t="s">
        <v>86</v>
      </c>
      <c r="B43" s="12">
        <v>45392.0</v>
      </c>
      <c r="C43" s="13" t="s">
        <v>87</v>
      </c>
      <c r="D43" s="14" t="s">
        <v>14</v>
      </c>
      <c r="E43" s="20">
        <v>100.0</v>
      </c>
      <c r="F43" s="21">
        <f t="shared" si="2"/>
        <v>-666</v>
      </c>
      <c r="G43" s="17" t="str">
        <f t="shared" si="1"/>
        <v>over budget</v>
      </c>
      <c r="H43" s="18"/>
      <c r="I43" s="7" t="b">
        <v>0</v>
      </c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</row>
    <row r="44">
      <c r="A44" s="11" t="s">
        <v>88</v>
      </c>
      <c r="B44" s="24">
        <v>45027.0</v>
      </c>
      <c r="C44" s="13" t="s">
        <v>89</v>
      </c>
      <c r="D44" s="14" t="s">
        <v>14</v>
      </c>
      <c r="E44" s="20">
        <v>301.0</v>
      </c>
      <c r="F44" s="21">
        <f t="shared" si="2"/>
        <v>-967</v>
      </c>
      <c r="G44" s="17" t="str">
        <f t="shared" si="1"/>
        <v>over budget</v>
      </c>
      <c r="H44" s="18"/>
      <c r="I44" s="7" t="b">
        <v>0</v>
      </c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</row>
    <row r="45">
      <c r="A45" s="11" t="s">
        <v>90</v>
      </c>
      <c r="B45" s="24">
        <v>45027.0</v>
      </c>
      <c r="C45" s="13" t="s">
        <v>42</v>
      </c>
      <c r="D45" s="14" t="s">
        <v>14</v>
      </c>
      <c r="E45" s="20">
        <v>110.0</v>
      </c>
      <c r="F45" s="21">
        <f t="shared" si="2"/>
        <v>-1077</v>
      </c>
      <c r="G45" s="17" t="str">
        <f t="shared" si="1"/>
        <v>over budget</v>
      </c>
      <c r="H45" s="18"/>
      <c r="I45" s="7" t="b">
        <v>0</v>
      </c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</row>
    <row r="46">
      <c r="A46" s="11" t="s">
        <v>91</v>
      </c>
      <c r="B46" s="24">
        <v>45027.0</v>
      </c>
      <c r="C46" s="13" t="s">
        <v>92</v>
      </c>
      <c r="D46" s="14" t="s">
        <v>14</v>
      </c>
      <c r="E46" s="20">
        <v>190.0</v>
      </c>
      <c r="F46" s="21">
        <f t="shared" si="2"/>
        <v>-1267</v>
      </c>
      <c r="G46" s="17" t="str">
        <f t="shared" si="1"/>
        <v>over budget</v>
      </c>
      <c r="H46" s="18"/>
      <c r="I46" s="7" t="b">
        <v>0</v>
      </c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</row>
    <row r="47">
      <c r="A47" s="11" t="s">
        <v>93</v>
      </c>
      <c r="B47" s="22">
        <v>45030.0</v>
      </c>
      <c r="C47" s="13" t="s">
        <v>94</v>
      </c>
      <c r="D47" s="14" t="s">
        <v>14</v>
      </c>
      <c r="E47" s="20">
        <v>14000.0</v>
      </c>
      <c r="F47" s="21">
        <f t="shared" si="2"/>
        <v>-15267</v>
      </c>
      <c r="G47" s="17" t="str">
        <f t="shared" si="1"/>
        <v>over budget</v>
      </c>
      <c r="H47" s="18"/>
      <c r="I47" s="7" t="b">
        <v>0</v>
      </c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</row>
    <row r="48">
      <c r="A48" s="11" t="s">
        <v>95</v>
      </c>
      <c r="B48" s="22">
        <v>45036.0</v>
      </c>
      <c r="C48" s="13" t="s">
        <v>96</v>
      </c>
      <c r="D48" s="14" t="s">
        <v>14</v>
      </c>
      <c r="E48" s="20">
        <v>200.0</v>
      </c>
      <c r="F48" s="21">
        <f t="shared" si="2"/>
        <v>-15467</v>
      </c>
      <c r="G48" s="17" t="str">
        <f t="shared" si="1"/>
        <v>over budget</v>
      </c>
      <c r="H48" s="18"/>
      <c r="I48" s="7" t="b">
        <v>0</v>
      </c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</row>
    <row r="49">
      <c r="A49" s="11" t="s">
        <v>97</v>
      </c>
      <c r="B49" s="22">
        <v>45040.0</v>
      </c>
      <c r="C49" s="13" t="s">
        <v>98</v>
      </c>
      <c r="D49" s="14" t="s">
        <v>14</v>
      </c>
      <c r="E49" s="20">
        <v>550.0</v>
      </c>
      <c r="F49" s="21">
        <f t="shared" si="2"/>
        <v>-16017</v>
      </c>
      <c r="G49" s="17" t="str">
        <f t="shared" si="1"/>
        <v>over budget</v>
      </c>
      <c r="H49" s="18"/>
      <c r="I49" s="7" t="b">
        <v>0</v>
      </c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</row>
    <row r="50">
      <c r="A50" s="11" t="s">
        <v>99</v>
      </c>
      <c r="B50" s="22">
        <v>45042.0</v>
      </c>
      <c r="C50" s="13" t="s">
        <v>100</v>
      </c>
      <c r="D50" s="14" t="s">
        <v>14</v>
      </c>
      <c r="E50" s="20">
        <v>480.0</v>
      </c>
      <c r="F50" s="21">
        <f t="shared" si="2"/>
        <v>-16497</v>
      </c>
      <c r="G50" s="17" t="str">
        <f t="shared" si="1"/>
        <v>over budget</v>
      </c>
      <c r="H50" s="18"/>
      <c r="I50" s="7" t="b">
        <v>0</v>
      </c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</row>
    <row r="51">
      <c r="A51" s="11" t="s">
        <v>101</v>
      </c>
      <c r="B51" s="22">
        <v>45042.0</v>
      </c>
      <c r="C51" s="13" t="s">
        <v>102</v>
      </c>
      <c r="D51" s="14" t="s">
        <v>14</v>
      </c>
      <c r="E51" s="20">
        <v>300.0</v>
      </c>
      <c r="F51" s="21">
        <f t="shared" si="2"/>
        <v>-16797</v>
      </c>
      <c r="G51" s="17" t="str">
        <f t="shared" si="1"/>
        <v>over budget</v>
      </c>
      <c r="H51" s="18"/>
      <c r="I51" s="7" t="b">
        <v>0</v>
      </c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</row>
    <row r="52">
      <c r="A52" s="11" t="s">
        <v>103</v>
      </c>
      <c r="B52" s="22">
        <v>45043.0</v>
      </c>
      <c r="C52" s="13" t="s">
        <v>104</v>
      </c>
      <c r="D52" s="14" t="s">
        <v>14</v>
      </c>
      <c r="E52" s="20">
        <v>1230.0</v>
      </c>
      <c r="F52" s="21">
        <f t="shared" si="2"/>
        <v>-18027</v>
      </c>
      <c r="G52" s="17" t="str">
        <f t="shared" si="1"/>
        <v>over budget</v>
      </c>
      <c r="H52" s="18"/>
      <c r="I52" s="7" t="b">
        <v>0</v>
      </c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</row>
    <row r="53">
      <c r="A53" s="11" t="s">
        <v>105</v>
      </c>
      <c r="B53" s="22">
        <v>45044.0</v>
      </c>
      <c r="C53" s="13" t="s">
        <v>106</v>
      </c>
      <c r="D53" s="23" t="s">
        <v>11</v>
      </c>
      <c r="E53" s="15">
        <v>50344.0</v>
      </c>
      <c r="F53" s="21">
        <f t="shared" si="2"/>
        <v>32317</v>
      </c>
      <c r="G53" s="17" t="str">
        <f t="shared" si="1"/>
        <v>under budget</v>
      </c>
      <c r="H53" s="18"/>
      <c r="I53" s="7" t="b">
        <v>0</v>
      </c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</row>
    <row r="54">
      <c r="A54" s="11" t="s">
        <v>107</v>
      </c>
      <c r="B54" s="22">
        <v>45045.0</v>
      </c>
      <c r="C54" s="13" t="s">
        <v>108</v>
      </c>
      <c r="D54" s="14" t="s">
        <v>14</v>
      </c>
      <c r="E54" s="20">
        <v>80.0</v>
      </c>
      <c r="F54" s="21">
        <f t="shared" si="2"/>
        <v>32237</v>
      </c>
      <c r="G54" s="17" t="str">
        <f t="shared" si="1"/>
        <v>under budget</v>
      </c>
      <c r="H54" s="18"/>
      <c r="I54" s="7" t="b">
        <v>0</v>
      </c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</row>
  </sheetData>
  <conditionalFormatting sqref="D2:D54">
    <cfRule type="containsText" dxfId="0" priority="1" operator="containsText" text="EXPENSE">
      <formula>NOT(ISERROR(SEARCH(("EXPENSE"),(D2))))</formula>
    </cfRule>
  </conditionalFormatting>
  <conditionalFormatting sqref="D2:D54">
    <cfRule type="containsText" dxfId="1" priority="2" operator="containsText" text="INCOME">
      <formula>NOT(ISERROR(SEARCH(("INCOME"),(D2))))</formula>
    </cfRule>
  </conditionalFormatting>
  <conditionalFormatting sqref="F1:F54">
    <cfRule type="containsText" dxfId="0" priority="3" operator="containsText" text="-">
      <formula>NOT(ISERROR(SEARCH(("-"),(F1))))</formula>
    </cfRule>
  </conditionalFormatting>
  <conditionalFormatting sqref="G1:G54">
    <cfRule type="containsText" dxfId="0" priority="4" operator="containsText" text="over">
      <formula>NOT(ISERROR(SEARCH(("over"),(G1))))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109</v>
      </c>
      <c r="B1" s="10" t="s">
        <v>110</v>
      </c>
      <c r="C1" s="10" t="s">
        <v>111</v>
      </c>
    </row>
    <row r="2">
      <c r="A2" s="25">
        <v>1.0</v>
      </c>
      <c r="B2" s="9" t="s">
        <v>112</v>
      </c>
      <c r="C2" s="26">
        <v>2026.0</v>
      </c>
    </row>
    <row r="3">
      <c r="A3" s="10"/>
      <c r="B3" s="10" t="s">
        <v>113</v>
      </c>
      <c r="C3" s="25">
        <f t="shared" ref="C3:C7" si="1">YEAR(TODAY())</f>
        <v>2026</v>
      </c>
    </row>
    <row r="4">
      <c r="A4" s="10"/>
      <c r="B4" s="10" t="s">
        <v>114</v>
      </c>
      <c r="C4" s="25">
        <f t="shared" si="1"/>
        <v>2026</v>
      </c>
    </row>
    <row r="5">
      <c r="A5" s="10"/>
      <c r="B5" s="10" t="s">
        <v>115</v>
      </c>
      <c r="C5" s="25">
        <f t="shared" si="1"/>
        <v>2026</v>
      </c>
    </row>
    <row r="6">
      <c r="A6" s="10"/>
      <c r="B6" s="10" t="s">
        <v>116</v>
      </c>
      <c r="C6" s="25">
        <f t="shared" si="1"/>
        <v>2026</v>
      </c>
    </row>
    <row r="7">
      <c r="A7" s="10"/>
      <c r="B7" s="10" t="s">
        <v>112</v>
      </c>
      <c r="C7" s="25">
        <f t="shared" si="1"/>
        <v>2026</v>
      </c>
    </row>
    <row r="8">
      <c r="A8" s="9">
        <v>1.0</v>
      </c>
      <c r="B8" s="9" t="s">
        <v>117</v>
      </c>
      <c r="C8" s="26">
        <v>2025.0</v>
      </c>
    </row>
    <row r="9">
      <c r="A9" s="10"/>
      <c r="B9" s="10" t="s">
        <v>117</v>
      </c>
      <c r="C9" s="25">
        <f t="shared" ref="C9:C13" si="2">YEAR(TODAY())</f>
        <v>2026</v>
      </c>
    </row>
    <row r="10">
      <c r="A10" s="10"/>
      <c r="B10" s="10" t="s">
        <v>118</v>
      </c>
      <c r="C10" s="25">
        <f t="shared" si="2"/>
        <v>2026</v>
      </c>
    </row>
    <row r="11">
      <c r="A11" s="10"/>
      <c r="B11" s="10" t="s">
        <v>119</v>
      </c>
      <c r="C11" s="25">
        <f t="shared" si="2"/>
        <v>2026</v>
      </c>
    </row>
    <row r="12">
      <c r="A12" s="10"/>
      <c r="B12" s="10" t="s">
        <v>120</v>
      </c>
      <c r="C12" s="25">
        <f t="shared" si="2"/>
        <v>2026</v>
      </c>
    </row>
    <row r="13">
      <c r="A13" s="10"/>
      <c r="B13" s="10" t="s">
        <v>121</v>
      </c>
      <c r="C13" s="25">
        <f t="shared" si="2"/>
        <v>2026</v>
      </c>
    </row>
    <row r="14">
      <c r="A14" s="10"/>
      <c r="B14" s="10" t="s">
        <v>117</v>
      </c>
      <c r="C14" s="25">
        <v>2025.0</v>
      </c>
    </row>
    <row r="15">
      <c r="B15" s="27" t="s">
        <v>117</v>
      </c>
      <c r="C15" s="27">
        <v>2025.0</v>
      </c>
    </row>
    <row r="16">
      <c r="B16" s="27" t="s">
        <v>117</v>
      </c>
      <c r="C16" s="27">
        <v>2025.0</v>
      </c>
    </row>
  </sheetData>
  <drawing r:id="rId1"/>
</worksheet>
</file>